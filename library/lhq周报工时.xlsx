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统计" sheetId="1" r:id="rId3"/>
    <sheet name="外发" sheetId="2" r:id="rId4"/>
  </sheets>
  <calcPr fullCalcOnLoad="0"/>
</workbook>
</file>

<file path=xl/sharedStrings.xml><?xml version="1.0" encoding="utf-8"?>
<sst xmlns="http://schemas.openxmlformats.org/spreadsheetml/2006/main" count="109" uniqueCount="109">
  <si>
    <t/>
  </si>
  <si>
    <t>日期</t>
  </si>
  <si>
    <t>工作内容</t>
  </si>
  <si>
    <t>时长(H)</t>
  </si>
  <si>
    <t>发送内容</t>
  </si>
  <si>
    <t>2025-12-22~2025-12-26</t>
  </si>
  <si>
    <t>bpm测试环境加载速度优化</t>
  </si>
  <si>
    <t>bpm测试环境加载速度优化(4H)/</t>
  </si>
  <si>
    <t>bpm-文件下载, 增加不存在时的提示功能, 涉及到的所有相关页面更新, 尤指zip下载</t>
  </si>
  <si>
    <t>bpm-文件下载, 增加不存在时的提示功能, 涉及到的所有相关页面更新, 尤指zip下载(5H)/</t>
  </si>
  <si>
    <t>bpm依赖包整理及优化</t>
  </si>
  <si>
    <t>bpm依赖包整理及优化(9H)/</t>
  </si>
  <si>
    <t>特定页面接口出入参统计</t>
  </si>
  <si>
    <t>特定页面接口出入参统计(5H)/</t>
  </si>
  <si>
    <t>预生产环境研究</t>
  </si>
  <si>
    <t>预生产环境研究(9H)/</t>
  </si>
  <si>
    <t>bpm-承诺函页面, 增加分页功能 &amp; 表格多选功能逻辑更新</t>
  </si>
  <si>
    <t>bpm-承诺函页面, 增加分页功能 &amp; 表格多选功能逻辑更新(5H)/</t>
  </si>
  <si>
    <t>bpm-pvPoolFof产品入池超链接, 增加推荐地区字段</t>
  </si>
  <si>
    <t>bpm-pvPoolFof产品入池超链接, 增加推荐地区字段(4H)/</t>
  </si>
  <si>
    <t>国别指标更新</t>
  </si>
  <si>
    <t>国别指标更新(4H)/</t>
  </si>
  <si>
    <t>2025-12-15~2025-12-19</t>
  </si>
  <si>
    <t>国别指标</t>
  </si>
  <si>
    <t>国别指标(9H)/</t>
  </si>
  <si>
    <t>资产检视-ppt脱敏调节</t>
  </si>
  <si>
    <t>资产检视-ppt脱敏调节(8H)/</t>
  </si>
  <si>
    <t>bpm-文件下载, 功能优化</t>
  </si>
  <si>
    <t>bpm-文件下载, 功能优化(9H)/</t>
  </si>
  <si>
    <t>资产检视-预生产环境研究及部署</t>
  </si>
  <si>
    <t>资产检视-预生产环境研究及部署(9H)/</t>
  </si>
  <si>
    <t>bpm-info页面净值文件解析失败排查及处理</t>
  </si>
  <si>
    <t>bpm-info页面净值文件解析失败排查及处理(5H)/</t>
  </si>
  <si>
    <t>bpm埋点</t>
  </si>
  <si>
    <t>bpm埋点(5H)/</t>
  </si>
  <si>
    <t>2025-12-08~2025-12-12</t>
  </si>
  <si>
    <t>国别指标(3H)/</t>
  </si>
  <si>
    <t>资产检视-预生产环境研究及优化</t>
  </si>
  <si>
    <t>资产检视-预生产环境研究及优化(18H)/</t>
  </si>
  <si>
    <t>私募备选池流程-fof信息录入</t>
  </si>
  <si>
    <t>私募备选池流程-fof信息录入(9H)/</t>
  </si>
  <si>
    <t>资产检视-组合详情调整+样例ppt脱敏输出</t>
  </si>
  <si>
    <t>资产检视-组合详情调整+样例ppt脱敏输出(4H)/</t>
  </si>
  <si>
    <t>在池产品</t>
  </si>
  <si>
    <t>在池产品(6H)/</t>
  </si>
  <si>
    <t>订制中心-管理人入池产品信息优化</t>
  </si>
  <si>
    <t>订制中心-管理人入池产品信息优化(5H)/</t>
  </si>
  <si>
    <t>2025-12-01~2025-12-05</t>
  </si>
  <si>
    <t>请假一天</t>
  </si>
  <si>
    <t>请假一天(9H)/</t>
  </si>
  <si>
    <t>国别指标(14H)/</t>
  </si>
  <si>
    <t>资产检视-预生产环境研究及部署(8H)/</t>
  </si>
  <si>
    <t>资产检视, 优化</t>
  </si>
  <si>
    <t>资产检视, 优化(6H)/</t>
  </si>
  <si>
    <t>bpm组件bug fixed &amp; 新增"普通表格展示"组件</t>
  </si>
  <si>
    <t>bpm组件bug fixed &amp; 新增"普通表格展示"组件(4H)/</t>
  </si>
  <si>
    <t>订制中心-管理人入池产品信息优化(4H)/</t>
  </si>
  <si>
    <t>2025-11-24~2025-11-28</t>
  </si>
  <si>
    <t>bpm-info文本组件优化;bpm-我的消息功能更新;bpm-下投产品录入页面新增功能&amp;优化</t>
  </si>
  <si>
    <t>bpm-info文本组件优化;bpm-我的消息功能更新;bpm-下投产品录入页面新增功能&amp;优化(8H)/</t>
  </si>
  <si>
    <t>订制中心-管理人入池产品信息优化&amp;生产文件问题排查</t>
  </si>
  <si>
    <t>订制中心-管理人入池产品信息优化&amp;生产文件问题排查(11H)/</t>
  </si>
  <si>
    <t>资产检视, 创建组合&amp;持仓产品新增管理人策略功能&amp;优化</t>
  </si>
  <si>
    <t>资产检视, 创建组合&amp;持仓产品新增管理人策略功能&amp;优化(8H)/</t>
  </si>
  <si>
    <t>国别指标(8H)/</t>
  </si>
  <si>
    <t>资配移动端测试环境部署</t>
  </si>
  <si>
    <t>资配移动端测试环境部署(4H)/</t>
  </si>
  <si>
    <t>发版整理</t>
  </si>
  <si>
    <t>发版整理(1H)/</t>
  </si>
  <si>
    <t>外发内容</t>
  </si>
  <si>
    <t>2025-12-29~2026-01-04</t>
  </si>
  <si>
    <t>bpm测试环境加载速度优化(4H)/bpm-文件下载, 增加不存在时的提示功能, 涉及到的所有相关页面更新, 尤指zip下载(5H)/bpm依赖包整理及优化(9H)/特定页面接口出入参统计(5H)/预生产环境研究(9H)/bpm-承诺函页面, 增加分页功能 &amp; 表格多选功能逻辑更新(5H)/bpm-pvPoolFof产品入池超链接, 增加推荐地区字段(4H)/国别指标更新(4H)/</t>
  </si>
  <si>
    <t>国别指标(9H)/资产检视-ppt脱敏调节(8H)/bpm-文件下载, 功能优化(9H)/资产检视-预生产环境研究及部署(9H)/bpm-info页面净值文件解析失败排查及处理(5H)/bpm埋点(5H)/</t>
  </si>
  <si>
    <t>国别指标(3H)/资产检视-预生产环境研究及优化(18H)/私募备选池流程-fof信息录入(9H)/资产检视-组合详情调整+样例ppt脱敏输出(4H)/在池产品(6H)/订制中心-管理人入池产品信息优化(5H)/</t>
  </si>
  <si>
    <t>国别指标(14H)/资产检视-预生产环境研究及部署(8H)/资产检视, 优化(6H)/bpm组件bug fixed &amp; 新增"普通表格展示"组件(4H)/订制中心-管理人入池产品信息优化(4H)/请假一天(9H)/</t>
  </si>
  <si>
    <t>bpm-info文本组件优化;bpm-我的消息功能更新;bpm-下投产品录入页面新增功能&amp;优化(8H)/订制中心-管理人入池产品信息优化&amp;生产文件问题排查(11H)/资产检视, 创建组合&amp;持仓产品新增管理人策略功能&amp;优化(8H)/国别指标(8H)/资配移动端测试环境部署(4H)/发版整理(1H)/</t>
  </si>
  <si>
    <t>(4H)/</t>
  </si>
  <si>
    <t>(H)/</t>
  </si>
  <si>
    <t>尽调问卷问题排查</t>
  </si>
  <si>
    <t>尽调问卷问题排查(4H)/</t>
  </si>
  <si>
    <t>bpm-管理人尽调问卷&amp;私募/专户入池报告, 权限</t>
  </si>
  <si>
    <t>bpm-管理人尽调问卷&amp;私募/专户入池报告, 权限(H)/</t>
  </si>
  <si>
    <t>bpm-管理人尽调问卷&amp;私募/专户入池报告, 按钮权限逻辑更新</t>
  </si>
  <si>
    <t>bpm-管理人尽调问卷&amp;私募/专户入池报告, 按钮权限逻辑更新(H)/</t>
  </si>
  <si>
    <t>bpm-管理人尽调问卷&amp;私募/专户入池报告, 按钮权限逻辑更新(5H)/</t>
  </si>
  <si>
    <t>尽调问卷问题排查(5H)/</t>
  </si>
  <si>
    <t>bpm-多页面按钮权限排查&amp;调整</t>
  </si>
  <si>
    <t>bpm-多页面按钮权限排查&amp;调整(H)/</t>
  </si>
  <si>
    <t>bpm-多页面按钮权限排查&amp;调整(9H)/</t>
  </si>
  <si>
    <t>尽调问卷问题排查(6H)/</t>
  </si>
  <si>
    <t>问题排查</t>
  </si>
  <si>
    <t>问题排查(H)/</t>
  </si>
  <si>
    <t>预生产环境配置-已完结</t>
  </si>
  <si>
    <t>预生产环境配置-已完结(H)/</t>
  </si>
  <si>
    <t>预生产环境配置-已完结(9H)/</t>
  </si>
  <si>
    <t>bpm-多页面按钮权限排查&amp;调整(7H)/</t>
  </si>
  <si>
    <t>尽调问卷问题排查(6H)/bpm-管理人尽调问卷&amp;私募/专户入池报告, 按钮权限逻辑更新(5H)/bpm-多页面按钮权限排查&amp;调整(7H)/预生产环境配置-已完结(9H)/</t>
  </si>
  <si>
    <t>2026-01-05~2026-01-09</t>
  </si>
  <si>
    <t>(6H)/</t>
  </si>
  <si>
    <t>代销产品</t>
  </si>
  <si>
    <t>代销产品(H)/</t>
  </si>
  <si>
    <t>代销产品(5H)/</t>
  </si>
  <si>
    <t>代销产品, 增加字段, 翻页查询bug fixed</t>
  </si>
  <si>
    <t>代销产品, 增加字段, 翻页查询bug fixed(5H)/</t>
  </si>
  <si>
    <t>代销产品, 增加字段, 翻页&amp;查询bug fixed</t>
  </si>
  <si>
    <t>代销产品, 增加字段, 翻页&amp;查询bug fixed(5H)/</t>
  </si>
  <si>
    <t>尽调问卷问题排查&amp;数据恢复</t>
  </si>
  <si>
    <t>尽调问卷问题排查&amp;数据恢复(H)/</t>
  </si>
  <si>
    <t>尽调问卷问题排查&amp;数据恢复(5H)/</t>
  </si>
</sst>
</file>

<file path=xl/styles.xml><?xml version="1.0" encoding="utf-8"?>
<styleSheet xmlns="http://schemas.openxmlformats.org/spreadsheetml/2006/main">
  <numFmts count="1">
    <numFmt numFmtId="300" formatCode="yyyy/m/d;@"/>
  </numFmts>
  <fonts count="1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Hei"/>
    </font>
    <font>
      <name val="SimHei"/>
      <sz val="10"/>
    </font>
    <font>
      <name val="SimHei"/>
      <sz val="12"/>
    </font>
    <font>
      <name val="DFKai-SB"/>
    </font>
    <font/>
    <font>
      <name val="Microsoft JhengHei"/>
    </font>
    <font>
      <name val="SimSun"/>
    </font>
    <font>
      <name val="PMingLiU"/>
    </font>
    <font>
      <name val="PMingLiU"/>
      <sz val="10"/>
    </font>
    <font>
      <name val="PMingLiU"/>
      <sz val="12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13" fillId="0" borderId="0" xfId="0" applyNumberFormat="1" applyFont="1" applyFill="1" applyBorder="1" applyAlignment="1">
      <alignment vertical="center"/>
    </xf>
  </cellStyleXfs>
  <cellXfs count="4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1"/>
    </xf>
    <xf fontId="3" fillId="0" borderId="0" xfId="0">
      <alignment horizontal="center" vertical="center"/>
    </xf>
    <xf fontId="3" fillId="0" borderId="0" xfId="0">
      <alignment horizontal="left" vertical="center" wrapText="1"/>
    </xf>
    <xf numFmtId="0" fontId="3" fillId="0" borderId="0" xfId="0">
      <alignment horizontal="left" vertical="center" wrapText="1"/>
    </xf>
    <xf numFmtId="300" fontId="3" fillId="0" borderId="0" xfId="0">
      <alignment horizontal="center" vertical="center" wrapText="1"/>
    </xf>
    <xf fontId="4" fillId="0" borderId="0" xfId="0">
      <alignment horizontal="center" vertical="center"/>
    </xf>
    <xf fontId="5" fillId="0" borderId="0" xfId="0">
      <alignment horizontal="center" vertical="center" wrapText="1"/>
    </xf>
    <xf fontId="4" fillId="0" borderId="0" xfId="0">
      <alignment horizontal="center" vertical="center" wrapText="1"/>
    </xf>
    <xf fontId="5" fillId="0" borderId="0" xfId="0">
      <alignment vertical="center" wrapText="1"/>
    </xf>
    <xf fontId="4" fillId="0" borderId="0" xfId="0">
      <alignment vertical="center" wrapText="1"/>
    </xf>
    <xf numFmtId="300" fontId="4" fillId="0" borderId="0" xfId="0">
      <alignment horizontal="center" vertical="center" wrapText="1"/>
    </xf>
    <xf fontId="6" fillId="0" borderId="0" xfId="0">
      <alignment horizontal="center" vertical="center" wrapText="1"/>
    </xf>
    <xf numFmtId="300" fontId="6" fillId="0" borderId="0" xfId="0">
      <alignment horizontal="center" vertical="center" wrapText="1"/>
    </xf>
    <xf fontId="6" fillId="0" borderId="0" xfId="0">
      <alignment horizontal="left" vertical="center" wrapText="1"/>
    </xf>
    <xf numFmtId="0" fontId="6" fillId="0" borderId="0" xfId="0">
      <alignment horizontal="left" vertical="center" wrapText="1"/>
    </xf>
    <xf fontId="6" fillId="0" borderId="0" xfId="0">
      <alignment horizontal="center" vertical="center"/>
    </xf>
    <xf fontId="7" fillId="0" borderId="0" xfId="0">
      <alignment horizontal="center" vertical="center" wrapText="1"/>
    </xf>
    <xf numFmtId="300" fontId="7" fillId="0" borderId="0" xfId="0">
      <alignment horizontal="center" vertical="center" wrapText="1"/>
    </xf>
    <xf fontId="7" fillId="0" borderId="0" xfId="0">
      <alignment horizontal="left" vertical="center" wrapText="1"/>
    </xf>
    <xf numFmtId="0" fontId="7" fillId="0" borderId="0" xfId="0">
      <alignment horizontal="left" vertical="center" wrapText="1"/>
    </xf>
    <xf fontId="7" fillId="0" borderId="0" xfId="0">
      <alignment horizontal="center" vertical="center"/>
    </xf>
    <xf fontId="8" fillId="0" borderId="0" xfId="0">
      <alignment horizontal="center" vertical="center" wrapText="1"/>
    </xf>
    <xf numFmtId="300" fontId="8" fillId="0" borderId="0" xfId="0">
      <alignment horizontal="center" vertical="center" wrapText="1"/>
    </xf>
    <xf fontId="8" fillId="0" borderId="0" xfId="0">
      <alignment horizontal="left" vertical="center" wrapText="1"/>
    </xf>
    <xf numFmtId="0" fontId="8" fillId="0" borderId="0" xfId="0">
      <alignment horizontal="left" vertical="center" wrapText="1"/>
    </xf>
    <xf fontId="8" fillId="0" borderId="0" xfId="0">
      <alignment horizontal="center" vertical="center"/>
    </xf>
    <xf fontId="9" fillId="0" borderId="0" xfId="0">
      <alignment horizontal="center" vertical="center" wrapText="1"/>
    </xf>
    <xf numFmtId="300" fontId="9" fillId="0" borderId="0" xfId="0">
      <alignment horizontal="center" vertical="center" wrapText="1"/>
    </xf>
    <xf fontId="9" fillId="0" borderId="0" xfId="0">
      <alignment horizontal="left" vertical="center" wrapText="1"/>
    </xf>
    <xf numFmtId="0" fontId="9" fillId="0" borderId="0" xfId="0">
      <alignment horizontal="left" vertical="center" wrapText="1"/>
    </xf>
    <xf fontId="9" fillId="0" borderId="0" xfId="0">
      <alignment horizontal="center" vertical="center"/>
    </xf>
    <xf fontId="10" fillId="0" borderId="0" xfId="0">
      <alignment horizontal="center" vertical="center" wrapText="1"/>
    </xf>
    <xf numFmtId="300" fontId="10" fillId="0" borderId="0" xfId="0">
      <alignment horizontal="center" vertical="center" wrapText="1"/>
    </xf>
    <xf fontId="10" fillId="0" borderId="0" xfId="0">
      <alignment horizontal="left" vertical="center" wrapText="1"/>
    </xf>
    <xf numFmtId="0" fontId="10" fillId="0" borderId="0" xfId="0">
      <alignment horizontal="left" vertical="center" wrapText="1"/>
    </xf>
    <xf fontId="10" fillId="0" borderId="0" xfId="0">
      <alignment horizontal="center" vertical="center"/>
    </xf>
    <xf fontId="11" fillId="0" borderId="0" xfId="0">
      <alignment horizontal="center" vertical="center"/>
    </xf>
    <xf fontId="11" fillId="0" borderId="0" xfId="0">
      <alignment horizontal="center" vertical="center" wrapText="1"/>
    </xf>
    <xf numFmtId="300" fontId="11" fillId="0" borderId="0" xfId="0">
      <alignment horizontal="center" vertical="center" wrapText="1"/>
    </xf>
    <xf fontId="12" fillId="0" borderId="0" xfId="0">
      <alignment horizontal="center" vertical="center" wrapText="1"/>
    </xf>
    <xf fontId="12" fillId="0" borderId="0" xfId="0">
      <alignment vertical="center" wrapText="1"/>
    </xf>
    <xf fontId="11" fillId="0" borderId="0" xfId="0">
      <alignment vertical="center" wrapText="1"/>
    </xf>
    <xf fontId="11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统计">
    <tabColor/>
  </sheetPr>
  <dimension ref="E44"/>
  <sheetViews>
    <sheetView showGridLines="1" rightToLeft="0" workbookViewId="0"/>
  </sheetViews>
  <sheetFormatPr baseColWidth="13" defaultRowHeight="18" customHeight="1"/>
  <cols>
    <col min="1" max="1" width="20.6641" style="35" customWidth="1"/>
    <col min="2" max="2" width="37.1719" style="37" customWidth="1"/>
    <col min="3" max="3" width="12.4141" style="39" customWidth="1"/>
    <col min="4" max="4" width="57.3242" style="37" customWidth="1"/>
    <col min="5" max="5" width="15.3711" style="37" customWidth="1"/>
    <col min="6" max="26" width="13.6719" style="39"/>
  </cols>
  <sheetData>
    <row r="1" spans="1:4">
      <c r="A1" s="35" t="s">
        <v>1</v>
      </c>
      <c r="B1" s="35" t="s">
        <v>2</v>
      </c>
      <c r="C1" s="39" t="s">
        <v>3</v>
      </c>
      <c r="D1" s="35" t="s">
        <v>4</v>
      </c>
    </row>
    <row r="2" spans="1:4">
      <c r="A2" s="35" t="s">
        <v>97</v>
      </c>
      <c r="B2" s="37" t="s">
        <v>104</v>
      </c>
      <c r="C2" s="39">
        <v>5</v>
      </c>
      <c r="D2" s="37" t="s">
        <f>=CONCATENATE(B2,"(",C2,"H)/")</f>
        <v>105</v>
      </c>
    </row>
    <row r="3" spans="1:4">
      <c r="A3" s="35" t="s"/>
      <c r="B3" s="37" t="s">
        <v>106</v>
      </c>
      <c r="C3" s="39">
        <v>5</v>
      </c>
      <c r="D3" s="37" t="s">
        <f>=CONCATENATE(B3,"(",C3,"H)/")</f>
        <v>108</v>
      </c>
    </row>
    <row r="4" spans="1:4">
      <c r="A4" s="35" t="s"/>
      <c r="B4" s="37" t="s"/>
      <c r="C4" s="39" t="s"/>
      <c r="D4" s="37" t="s">
        <f>=CONCATENATE(B4,"(",C4,"H)/")</f>
        <v>77</v>
      </c>
    </row>
    <row r="5" spans="1:4">
      <c r="A5" s="35" t="s"/>
      <c r="B5" s="37" t="s"/>
      <c r="C5" s="39" t="s"/>
      <c r="D5" s="37" t="s">
        <f>=CONCATENATE(B5,"(",C5,"H)/")</f>
        <v>77</v>
      </c>
    </row>
    <row r="6" spans="1:4">
      <c r="A6" s="35" t="s"/>
      <c r="B6" s="37" t="s"/>
      <c r="C6" s="39" t="s"/>
      <c r="D6" s="37" t="s">
        <f>=CONCATENATE(B6,"(",C6,"H)/")</f>
        <v>77</v>
      </c>
    </row>
    <row r="7" spans="1:4">
      <c r="A7" s="35" t="s"/>
      <c r="B7" s="37" t="s"/>
      <c r="C7" s="39" t="s"/>
      <c r="D7" s="37" t="s">
        <f>=CONCATENATE(B7,"(",C7,"H)/")</f>
        <v>77</v>
      </c>
    </row>
    <row r="8" spans="1:4">
      <c r="A8" s="35" t="s">
        <v>70</v>
      </c>
      <c r="B8" s="37" t="s">
        <v>78</v>
      </c>
      <c r="C8" s="39">
        <v>6</v>
      </c>
      <c r="D8" s="37" t="s">
        <f>=CONCATENATE(B8,"(",C8,"H)/")</f>
        <v>89</v>
      </c>
    </row>
    <row r="9" spans="1:4">
      <c r="A9" s="35" t="s"/>
      <c r="B9" s="37" t="s">
        <v>82</v>
      </c>
      <c r="C9" s="39">
        <v>5</v>
      </c>
      <c r="D9" s="37" t="s">
        <f>=CONCATENATE(B9,"(",C9,"H)/")</f>
        <v>84</v>
      </c>
    </row>
    <row r="10" spans="1:4">
      <c r="A10" s="35" t="s"/>
      <c r="B10" s="37" t="s">
        <v>86</v>
      </c>
      <c r="C10" s="39">
        <v>7</v>
      </c>
      <c r="D10" s="37" t="s">
        <f>=CONCATENATE(B10,"(",C10,"H)/")</f>
        <v>95</v>
      </c>
    </row>
    <row r="11" spans="1:4">
      <c r="A11" s="35" t="s"/>
      <c r="B11" s="37" t="s">
        <v>92</v>
      </c>
      <c r="C11" s="39">
        <v>9</v>
      </c>
      <c r="D11" s="37" t="s">
        <f>=CONCATENATE(B11,"(",C11,"H)/")</f>
        <v>94</v>
      </c>
    </row>
    <row r="12" spans="1:4">
      <c r="A12" s="35" t="s">
        <v>5</v>
      </c>
      <c r="B12" s="37" t="s">
        <v>6</v>
      </c>
      <c r="C12" s="39">
        <v>4</v>
      </c>
      <c r="D12" s="37" t="s">
        <f>=CONCATENATE(B12,"(",C12,"H)/")</f>
        <v>7</v>
      </c>
    </row>
    <row r="13" spans="1:4">
      <c r="A13" s="35" t="s"/>
      <c r="B13" s="37" t="s">
        <v>8</v>
      </c>
      <c r="C13" s="39">
        <v>5</v>
      </c>
      <c r="D13" s="37" t="s">
        <f>=CONCATENATE(B13,"(",C13,"H)/")</f>
        <v>9</v>
      </c>
    </row>
    <row r="14" spans="1:4">
      <c r="A14" s="35" t="s"/>
      <c r="B14" s="37" t="s">
        <v>10</v>
      </c>
      <c r="C14" s="39">
        <v>9</v>
      </c>
      <c r="D14" s="37" t="s">
        <f>=CONCATENATE(B14,"(",C14,"H)/")</f>
        <v>11</v>
      </c>
    </row>
    <row r="15" spans="1:4">
      <c r="A15" s="35" t="s"/>
      <c r="B15" s="37" t="s">
        <v>12</v>
      </c>
      <c r="C15" s="39">
        <v>5</v>
      </c>
      <c r="D15" s="37" t="s">
        <f>=CONCATENATE(B15,"(",C15,"H)/")</f>
        <v>13</v>
      </c>
    </row>
    <row r="16" spans="1:4">
      <c r="A16" s="35" t="s"/>
      <c r="B16" s="37" t="s">
        <v>14</v>
      </c>
      <c r="C16" s="39">
        <v>9</v>
      </c>
      <c r="D16" s="37" t="s">
        <f>=CONCATENATE(B16,"(",C16,"H)/")</f>
        <v>15</v>
      </c>
    </row>
    <row r="17" spans="1:4">
      <c r="A17" s="35" t="s"/>
      <c r="B17" s="37" t="s">
        <v>16</v>
      </c>
      <c r="C17" s="39">
        <v>5</v>
      </c>
      <c r="D17" s="37" t="s">
        <f>=CONCATENATE(B17,"(",C17,"H)/")</f>
        <v>17</v>
      </c>
    </row>
    <row r="18" spans="1:4">
      <c r="A18" s="35" t="s"/>
      <c r="B18" s="37" t="s">
        <v>18</v>
      </c>
      <c r="C18" s="39">
        <v>4</v>
      </c>
      <c r="D18" s="37" t="s">
        <f>=CONCATENATE(B18,"(",C18,"H)/")</f>
        <v>19</v>
      </c>
    </row>
    <row r="19" spans="1:4">
      <c r="A19" s="35" t="s"/>
      <c r="B19" s="37" t="s">
        <v>20</v>
      </c>
      <c r="C19" s="39">
        <v>4</v>
      </c>
      <c r="D19" s="37" t="s">
        <f>=CONCATENATE(B19,"(",C19,"H)/")</f>
        <v>21</v>
      </c>
    </row>
    <row r="20" spans="1:4">
      <c r="A20" s="35" t="s">
        <v>22</v>
      </c>
      <c r="B20" s="37" t="s">
        <v>23</v>
      </c>
      <c r="C20" s="39">
        <v>9</v>
      </c>
      <c r="D20" s="37" t="s">
        <f>=CONCATENATE(B20,"(",C20,"H)/")</f>
        <v>24</v>
      </c>
    </row>
    <row r="21" spans="1:4">
      <c r="A21" s="35" t="s"/>
      <c r="B21" s="37" t="s">
        <v>25</v>
      </c>
      <c r="C21" s="39">
        <v>8</v>
      </c>
      <c r="D21" s="37" t="s">
        <f>=CONCATENATE(B21,"(",C21,"H)/")</f>
        <v>26</v>
      </c>
    </row>
    <row r="22" spans="1:4">
      <c r="A22" s="35" t="s"/>
      <c r="B22" s="37" t="s">
        <v>27</v>
      </c>
      <c r="C22" s="39">
        <v>9</v>
      </c>
      <c r="D22" s="37" t="s">
        <f>=CONCATENATE(B22,"(",C22,"H)/")</f>
        <v>28</v>
      </c>
    </row>
    <row r="23" spans="1:4">
      <c r="A23" s="35" t="s"/>
      <c r="B23" s="37" t="s">
        <v>29</v>
      </c>
      <c r="C23" s="39">
        <v>9</v>
      </c>
      <c r="D23" s="37" t="s">
        <f>=CONCATENATE(B23,"(",C23,"H)/")</f>
        <v>30</v>
      </c>
    </row>
    <row r="24" spans="1:4">
      <c r="A24" s="35" t="s"/>
      <c r="B24" s="38" t="s">
        <v>31</v>
      </c>
      <c r="C24" s="39">
        <v>5</v>
      </c>
      <c r="D24" s="37" t="s">
        <f>=CONCATENATE(B24,"(",C24,"H)/")</f>
        <v>32</v>
      </c>
    </row>
    <row r="25" spans="1:4">
      <c r="A25" s="35" t="s"/>
      <c r="B25" s="37" t="s">
        <v>33</v>
      </c>
      <c r="C25" s="39">
        <v>5</v>
      </c>
      <c r="D25" s="37" t="s">
        <f>=CONCATENATE(B25,"(",C25,"H)/")</f>
        <v>34</v>
      </c>
    </row>
    <row r="26" spans="1:4">
      <c r="A26" s="35" t="s">
        <v>35</v>
      </c>
      <c r="B26" s="37" t="s">
        <v>23</v>
      </c>
      <c r="C26" s="39">
        <v>3</v>
      </c>
      <c r="D26" s="37" t="s">
        <f>=CONCATENATE(B26,"(",C26,"H)/")</f>
        <v>36</v>
      </c>
    </row>
    <row r="27" spans="1:4">
      <c r="A27" s="35" t="s"/>
      <c r="B27" s="37" t="s">
        <v>37</v>
      </c>
      <c r="C27" s="39">
        <v>18</v>
      </c>
      <c r="D27" s="37" t="s">
        <f>=CONCATENATE(B27,"(",C27,"H)/")</f>
        <v>38</v>
      </c>
    </row>
    <row r="28" spans="1:4">
      <c r="A28" s="35" t="s"/>
      <c r="B28" s="37" t="s">
        <v>39</v>
      </c>
      <c r="C28" s="39">
        <v>9</v>
      </c>
      <c r="D28" s="37" t="s">
        <f>=CONCATENATE(B28,"(",C28,"H)/")</f>
        <v>40</v>
      </c>
    </row>
    <row r="29" spans="1:4">
      <c r="A29" s="35" t="s"/>
      <c r="B29" s="37" t="s">
        <v>41</v>
      </c>
      <c r="C29" s="39">
        <v>4</v>
      </c>
      <c r="D29" s="37" t="s">
        <f>=CONCATENATE(B29,"(",C29,"H)/")</f>
        <v>42</v>
      </c>
    </row>
    <row r="30" spans="1:4">
      <c r="A30" s="35" t="s"/>
      <c r="B30" s="37" t="s">
        <v>43</v>
      </c>
      <c r="C30" s="39">
        <v>6</v>
      </c>
      <c r="D30" s="37" t="s">
        <f>=CONCATENATE(B30,"(",C30,"H)/")</f>
        <v>44</v>
      </c>
    </row>
    <row r="31" spans="1:4">
      <c r="A31" s="35" t="s"/>
      <c r="B31" s="37" t="s">
        <v>45</v>
      </c>
      <c r="C31" s="39">
        <v>5</v>
      </c>
      <c r="D31" s="37" t="s">
        <f>=CONCATENATE(B31,"(",C31,"H)/")</f>
        <v>46</v>
      </c>
    </row>
    <row r="32" spans="1:4">
      <c r="A32" s="35" t="s">
        <v>47</v>
      </c>
      <c r="B32" s="37" t="s">
        <v>48</v>
      </c>
      <c r="C32" s="39">
        <v>9</v>
      </c>
      <c r="D32" s="37" t="s">
        <f>=CONCATENATE(B32,"(",C32,"H)/")</f>
        <v>49</v>
      </c>
    </row>
    <row r="33" spans="1:4">
      <c r="A33" s="35" t="s"/>
      <c r="B33" s="37" t="s">
        <v>23</v>
      </c>
      <c r="C33" s="39">
        <v>14</v>
      </c>
      <c r="D33" s="37" t="s">
        <f>=CONCATENATE(B33,"(",C33,"H)/")</f>
        <v>50</v>
      </c>
    </row>
    <row r="34" spans="1:4">
      <c r="A34" s="35" t="s"/>
      <c r="B34" s="37" t="s">
        <v>29</v>
      </c>
      <c r="C34" s="39">
        <v>8</v>
      </c>
      <c r="D34" s="37" t="s">
        <f>=CONCATENATE(B34,"(",C34,"H)/")</f>
        <v>51</v>
      </c>
    </row>
    <row r="35" spans="1:4">
      <c r="A35" s="35" t="s"/>
      <c r="B35" s="37" t="s">
        <v>52</v>
      </c>
      <c r="C35" s="39">
        <v>6</v>
      </c>
      <c r="D35" s="37" t="s">
        <f>=CONCATENATE(B35,"(",C35,"H)/")</f>
        <v>53</v>
      </c>
    </row>
    <row r="36" spans="1:4">
      <c r="A36" s="35" t="s"/>
      <c r="B36" s="37" t="s">
        <v>54</v>
      </c>
      <c r="C36" s="39">
        <v>4</v>
      </c>
      <c r="D36" s="37" t="s">
        <f>=CONCATENATE(B36,"(",C36,"H)/")</f>
        <v>55</v>
      </c>
    </row>
    <row r="37" spans="1:4">
      <c r="A37" s="35" t="s"/>
      <c r="B37" s="37" t="s">
        <v>45</v>
      </c>
      <c r="C37" s="39">
        <v>4</v>
      </c>
      <c r="D37" s="37" t="s">
        <f>=CONCATENATE(B37,"(",C37,"H)/")</f>
        <v>56</v>
      </c>
    </row>
    <row r="38" spans="1:4">
      <c r="A38" s="36" t="s">
        <v>57</v>
      </c>
      <c r="B38" s="37" t="s">
        <v>58</v>
      </c>
      <c r="C38" s="39">
        <v>8</v>
      </c>
      <c r="D38" s="37" t="s">
        <f>=CONCATENATE(B38,"(",C38,"H)/")</f>
        <v>59</v>
      </c>
    </row>
    <row r="39" spans="1:4">
      <c r="A39" s="35" t="s"/>
      <c r="B39" s="37" t="s">
        <v>60</v>
      </c>
      <c r="C39" s="39">
        <v>11</v>
      </c>
      <c r="D39" s="37" t="s">
        <f>=CONCATENATE(B39,"(",C39,"H)/")</f>
        <v>61</v>
      </c>
    </row>
    <row r="40" spans="1:4">
      <c r="A40" s="35" t="s"/>
      <c r="B40" s="37" t="s">
        <v>62</v>
      </c>
      <c r="C40" s="39">
        <v>8</v>
      </c>
      <c r="D40" s="37" t="s">
        <f>=CONCATENATE(B40,"(",C40,"H)/")</f>
        <v>63</v>
      </c>
    </row>
    <row r="41" spans="1:4">
      <c r="A41" s="35" t="s"/>
      <c r="B41" s="37" t="s">
        <v>23</v>
      </c>
      <c r="C41" s="39">
        <v>8</v>
      </c>
      <c r="D41" s="37" t="s">
        <f>=CONCATENATE(B41,"(",C41,"H)/")</f>
        <v>64</v>
      </c>
    </row>
    <row r="42" spans="1:4">
      <c r="A42" s="35" t="s"/>
      <c r="B42" s="37" t="s">
        <v>65</v>
      </c>
      <c r="C42" s="39">
        <v>4</v>
      </c>
      <c r="D42" s="37" t="s">
        <f>=CONCATENATE(B42,"(",C42,"H)/")</f>
        <v>66</v>
      </c>
    </row>
    <row r="43" spans="1:4">
      <c r="A43" s="35" t="s"/>
      <c r="B43" s="37" t="s">
        <v>67</v>
      </c>
      <c r="C43" s="39">
        <v>1</v>
      </c>
      <c r="D43" s="37" t="s">
        <f>=CONCATENATE(B43,"(",C43,"H)/")</f>
        <v>68</v>
      </c>
    </row>
    <row r="44" spans="5:5">
      <c r="E44" s="37" t="s"/>
    </row>
  </sheetData>
</worksheet>
</file>

<file path=xl/worksheets/sheet2.xml><?xml version="1.0" encoding="utf-8"?>
<worksheet xmlns="http://schemas.openxmlformats.org/spreadsheetml/2006/main">
  <sheetPr codeName="外发">
    <tabColor/>
  </sheetPr>
  <dimension ref="C206"/>
  <sheetViews>
    <sheetView showGridLines="1" workbookViewId="0"/>
  </sheetViews>
  <sheetFormatPr baseColWidth="13" defaultRowHeight="18" customHeight="1"/>
  <cols>
    <col min="1" max="1" width="40.4609" style="46" customWidth="1"/>
    <col min="2" max="2" width="83.4922" style="44" customWidth="1"/>
    <col min="3" max="26" width="40.4609" style="46" customWidth="1"/>
  </cols>
  <sheetData>
    <row r="1" spans="1:2">
      <c r="A1" s="40" t="s">
        <v>1</v>
      </c>
      <c r="B1" s="43" t="s">
        <v>69</v>
      </c>
    </row>
    <row r="2" spans="1:3">
      <c r="A2" s="41" t="s">
        <v>97</v>
      </c>
      <c r="B2" s="44" t="s"/>
      <c r="C2" s="45" t="s"/>
    </row>
    <row r="3" spans="1:3">
      <c r="A3" s="41" t="s">
        <v>70</v>
      </c>
      <c r="B3" s="44" t="s">
        <f>=_xlfn.CONCAT(统计!D8,统计!D9,统计!D10,统计!D11)</f>
        <v>96</v>
      </c>
      <c r="C3" s="45" t="s"/>
    </row>
    <row r="4" spans="1:3">
      <c r="A4" s="41" t="s">
        <v>5</v>
      </c>
      <c r="B4" s="44" t="s">
        <f>=_xlfn.CONCAT(统计!D12,统计!D13,统计!D14,统计!D15,统计!D16,统计!D17,统计!D18,统计!D19)</f>
        <v>71</v>
      </c>
      <c r="C4" s="45" t="s"/>
    </row>
    <row r="5" spans="1:3">
      <c r="A5" s="41" t="s">
        <v>22</v>
      </c>
      <c r="B5" s="44" t="s">
        <f>=_xlfn.CONCAT(统计!D20,统计!D21,统计!D22,统计!D23,统计!D24,统计!D25)</f>
        <v>72</v>
      </c>
      <c r="C5" s="45" t="s"/>
    </row>
    <row r="6" spans="1:3">
      <c r="A6" s="41" t="s">
        <v>35</v>
      </c>
      <c r="B6" s="44" t="s">
        <f>=_xlfn.CONCAT(统计!D26,统计!D27,统计!D28,统计!D29,统计!D30,统计!D31)</f>
        <v>73</v>
      </c>
      <c r="C6" s="45" t="s"/>
    </row>
    <row r="7" spans="1:3">
      <c r="A7" s="41" t="s">
        <v>47</v>
      </c>
      <c r="B7" s="44" t="s">
        <f>=_xlfn.CONCAT(统计!D33,统计!D34,统计!D35,统计!D36,统计!D37,统计!D32)</f>
        <v>74</v>
      </c>
      <c r="C7" s="45" t="s"/>
    </row>
    <row r="8" spans="1:2">
      <c r="A8" s="42" t="s">
        <v>57</v>
      </c>
      <c r="B8" s="44" t="s">
        <f>=_xlfn.CONCAT(统计!D38,统计!D39,统计!D40,统计!D41,统计!D42,统计!D43)</f>
        <v>75</v>
      </c>
    </row>
    <row r="9" spans="1:26"/>
    <row r="10" spans="1:26"/>
    <row r="11" spans="1:26"/>
    <row r="12" spans="3:3">
      <c r="C12" s="45" t="s"/>
    </row>
    <row r="13" spans="1:26"/>
    <row r="14" spans="1:26"/>
    <row r="15" spans="1:26"/>
    <row r="16" spans="1:26"/>
    <row r="17" spans="1:26"/>
    <row r="18" spans="1:26"/>
    <row r="19" spans="1:26"/>
    <row r="20" spans="1:26"/>
    <row r="21" spans="1:26"/>
    <row r="22" spans="1:26"/>
    <row r="23" spans="1:26"/>
    <row r="24" spans="1:26"/>
    <row r="25" spans="1:26"/>
    <row r="26" spans="1:26"/>
    <row r="27" spans="1:26"/>
    <row r="28" spans="1:26"/>
    <row r="29" spans="1:26"/>
    <row r="30" spans="1:26"/>
    <row r="31" spans="1:26"/>
    <row r="32" spans="1:26"/>
    <row r="33" spans="1:26"/>
    <row r="34" spans="1:26"/>
    <row r="35" spans="1:26"/>
    <row r="36" spans="1:26"/>
    <row r="37" spans="1:26"/>
    <row r="38" spans="1:26"/>
    <row r="39" spans="1:26"/>
    <row r="40" spans="1:26"/>
    <row r="41" spans="1:26"/>
    <row r="42" spans="1:26"/>
    <row r="43" spans="1:26"/>
    <row r="44" spans="1:26"/>
    <row r="45" spans="1:26"/>
    <row r="46" spans="1:26"/>
    <row r="47" spans="1:26"/>
    <row r="48" spans="1:26"/>
    <row r="49" spans="1:26"/>
    <row r="50" spans="1:26"/>
    <row r="51" spans="1:26"/>
    <row r="52" spans="1:26"/>
    <row r="53" spans="1:26"/>
    <row r="54" spans="1:26"/>
    <row r="55" spans="1:26"/>
    <row r="56" spans="1:26"/>
    <row r="57" spans="1:26"/>
    <row r="58" spans="1:26"/>
    <row r="59" spans="1:26"/>
    <row r="60" spans="1:26"/>
    <row r="61" spans="1:26"/>
    <row r="62" spans="1:26"/>
    <row r="63" spans="1:26"/>
    <row r="64" spans="1:26"/>
    <row r="65" spans="1:26"/>
    <row r="66" spans="1:26"/>
    <row r="67" spans="1:26"/>
    <row r="68" spans="1:26"/>
    <row r="69" spans="1:26"/>
    <row r="70" spans="1:26"/>
    <row r="71" spans="1:26"/>
    <row r="72" spans="1:26"/>
    <row r="73" spans="1:26"/>
    <row r="74" spans="1:26"/>
    <row r="75" spans="1:26"/>
    <row r="76" spans="1:26"/>
    <row r="77" spans="1:26"/>
    <row r="78" spans="1:26"/>
    <row r="79" spans="1:26"/>
    <row r="80" spans="1:26"/>
    <row r="81" spans="1:26"/>
    <row r="82" spans="1:26"/>
    <row r="83" spans="1:26"/>
    <row r="84" spans="1:26"/>
    <row r="85" spans="1:26"/>
    <row r="86" spans="1:26"/>
    <row r="87" spans="1:26"/>
    <row r="88" spans="1:26"/>
    <row r="89" spans="1:26"/>
    <row r="90" spans="1:26"/>
    <row r="91" spans="1:26"/>
    <row r="92" spans="1:26"/>
    <row r="93" spans="1:26"/>
    <row r="94" spans="1:26"/>
    <row r="95" spans="1:26"/>
    <row r="96" spans="1:26"/>
    <row r="97" spans="1:26"/>
    <row r="98" spans="1:26"/>
    <row r="99" spans="1:26"/>
    <row r="100" spans="1:26"/>
    <row r="101" spans="1:26"/>
    <row r="102" spans="1:26"/>
    <row r="103" spans="1:26"/>
    <row r="104" spans="1:26"/>
    <row r="105" spans="1:26"/>
    <row r="106" spans="1:26"/>
    <row r="107" spans="1:26"/>
    <row r="108" spans="1:26"/>
    <row r="109" spans="1:26"/>
    <row r="110" spans="1:26"/>
    <row r="111" spans="1:26"/>
    <row r="112" spans="1:26"/>
    <row r="113" spans="1:26"/>
    <row r="114" spans="1:26"/>
    <row r="115" spans="1:26"/>
    <row r="116" spans="1:26"/>
    <row r="117" spans="1:26"/>
    <row r="118" spans="1:26"/>
    <row r="119" spans="1:26"/>
    <row r="120" spans="1:26"/>
    <row r="121" spans="1:26"/>
    <row r="122" spans="1:26"/>
    <row r="123" spans="1:26"/>
    <row r="124" spans="1:26"/>
    <row r="125" spans="1:26"/>
    <row r="126" spans="1:26"/>
    <row r="127" spans="1:26"/>
    <row r="128" spans="1:26"/>
    <row r="129" spans="1:26"/>
    <row r="130" spans="1:26"/>
    <row r="131" spans="1:26"/>
    <row r="132" spans="1:26"/>
    <row r="133" spans="1:26"/>
    <row r="134" spans="1:26"/>
    <row r="135" spans="1:26"/>
    <row r="136" spans="1:26"/>
    <row r="137" spans="1:26"/>
    <row r="138" spans="1:26"/>
    <row r="139" spans="1:26"/>
    <row r="140" spans="1:26"/>
    <row r="141" spans="1:26"/>
    <row r="142" spans="1:26"/>
    <row r="143" spans="1:26"/>
    <row r="144" spans="1:26"/>
    <row r="145" spans="1:26"/>
    <row r="146" spans="1:26"/>
    <row r="147" spans="1:26"/>
    <row r="148" spans="1:26"/>
    <row r="149" spans="1:26"/>
    <row r="150" spans="1:26"/>
    <row r="151" spans="1:26"/>
    <row r="152" spans="1:26"/>
    <row r="153" spans="1:26"/>
    <row r="154" spans="1:26"/>
    <row r="155" spans="1:26"/>
    <row r="156" spans="1:26"/>
    <row r="157" spans="1:26"/>
    <row r="158" spans="1:26"/>
    <row r="159" spans="1:26"/>
    <row r="160" spans="1:26"/>
    <row r="161" spans="1:26"/>
    <row r="162" spans="1:26"/>
    <row r="163" spans="1:26"/>
    <row r="164" spans="1:26"/>
    <row r="165" spans="1:26"/>
    <row r="166" spans="1:26"/>
    <row r="167" spans="1:26"/>
    <row r="168" spans="1:26"/>
    <row r="169" spans="1:26"/>
    <row r="170" spans="1:26"/>
    <row r="171" spans="1:26"/>
    <row r="172" spans="1:26"/>
    <row r="173" spans="1:26"/>
    <row r="174" spans="1:26"/>
    <row r="175" spans="1:26"/>
    <row r="176" spans="1:26"/>
    <row r="177" spans="1:26"/>
    <row r="178" spans="1:26"/>
    <row r="179" spans="1:26"/>
    <row r="180" spans="1:26"/>
    <row r="181" spans="1:26"/>
    <row r="182" spans="1:26"/>
    <row r="183" spans="1:26"/>
    <row r="184" spans="1:26"/>
    <row r="185" spans="1:26"/>
    <row r="186" spans="1:26"/>
    <row r="187" spans="1:26"/>
    <row r="188" spans="1:26"/>
    <row r="189" spans="1:26"/>
    <row r="190" spans="1:26"/>
    <row r="191" spans="1:26"/>
    <row r="192" spans="1:26"/>
    <row r="193" spans="1:26"/>
    <row r="194" spans="1:26"/>
    <row r="195" spans="1:26"/>
    <row r="196" spans="1:26"/>
    <row r="197" spans="1:26"/>
    <row r="198" spans="1:26"/>
    <row r="199" spans="1:26"/>
    <row r="200" spans="1:26"/>
    <row r="201" spans="1:26"/>
    <row r="202" spans="1:26"/>
    <row r="203" spans="1:26"/>
    <row r="204" spans="1:26"/>
    <row r="205" spans="1:26"/>
    <row r="206" spans="1:26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2026-04-17T15:30:23Z</dcterms:created>
  <dcterms:modified xsi:type="dcterms:W3CDTF">2026-04-17T15:30:23Z</dcterms:modified>
</cp:coreProperties>
</file>